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AppData\Roaming\MetaQuotes\Terminal\2267f95b5f51b2525fd66e74bf0e61db\MQL4\Resources\RockEquity\"/>
    </mc:Choice>
  </mc:AlternateContent>
  <xr:revisionPtr revIDLastSave="0" documentId="13_ncr:1_{A2F9A94F-0CA1-4392-8B8A-44D34BE0D4AA}" xr6:coauthVersionLast="47" xr6:coauthVersionMax="47" xr10:uidLastSave="{00000000-0000-0000-0000-000000000000}"/>
  <bookViews>
    <workbookView xWindow="1320" yWindow="2250" windowWidth="21600" windowHeight="11295" xr2:uid="{34CAD8EE-3435-4C8B-AB84-EB29FFA24D9E}"/>
  </bookViews>
  <sheets>
    <sheet name="Position Sizing" sheetId="3" r:id="rId1"/>
    <sheet name="BUY" sheetId="1" r:id="rId2"/>
    <sheet name="SEL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1" i="3" s="1"/>
  <c r="Q15" i="1"/>
  <c r="O16" i="2"/>
  <c r="O5" i="2"/>
  <c r="P2" i="2"/>
  <c r="M16" i="2"/>
  <c r="P7" i="2"/>
  <c r="Q9" i="1"/>
  <c r="P13" i="1" s="1"/>
  <c r="N12" i="1"/>
  <c r="N2" i="1"/>
  <c r="M4" i="2"/>
  <c r="C11" i="3" l="1"/>
  <c r="B10" i="3"/>
  <c r="C10" i="3" s="1"/>
  <c r="P3" i="1"/>
</calcChain>
</file>

<file path=xl/sharedStrings.xml><?xml version="1.0" encoding="utf-8"?>
<sst xmlns="http://schemas.openxmlformats.org/spreadsheetml/2006/main" count="45" uniqueCount="36">
  <si>
    <t>BUY</t>
  </si>
  <si>
    <t>SELL</t>
  </si>
  <si>
    <t>SPREAD</t>
  </si>
  <si>
    <t>Management</t>
  </si>
  <si>
    <r>
      <rPr>
        <b/>
        <sz val="11"/>
        <color theme="1"/>
        <rFont val="Aptos Narrow"/>
        <family val="2"/>
        <scheme val="minor"/>
      </rPr>
      <t>Open Price</t>
    </r>
    <r>
      <rPr>
        <sz val="11"/>
        <color theme="1"/>
        <rFont val="Aptos Narrow"/>
        <family val="2"/>
        <scheme val="minor"/>
      </rPr>
      <t>: Ask</t>
    </r>
  </si>
  <si>
    <r>
      <rPr>
        <b/>
        <sz val="11"/>
        <color theme="1"/>
        <rFont val="Aptos Narrow"/>
        <family val="2"/>
        <scheme val="minor"/>
      </rPr>
      <t>Open Price</t>
    </r>
    <r>
      <rPr>
        <sz val="11"/>
        <color theme="1"/>
        <rFont val="Aptos Narrow"/>
        <family val="2"/>
        <scheme val="minor"/>
      </rPr>
      <t>: Bid</t>
    </r>
  </si>
  <si>
    <t>60 Pips</t>
  </si>
  <si>
    <t>20 Pips</t>
  </si>
  <si>
    <r>
      <rPr>
        <b/>
        <sz val="11"/>
        <color theme="1"/>
        <rFont val="Aptos Narrow"/>
        <family val="2"/>
        <scheme val="minor"/>
      </rPr>
      <t>Risk Reward</t>
    </r>
    <r>
      <rPr>
        <sz val="11"/>
        <color theme="1"/>
        <rFont val="Aptos Narrow"/>
        <family val="2"/>
        <scheme val="minor"/>
      </rPr>
      <t>: 3:1</t>
    </r>
  </si>
  <si>
    <t>TP Line = Ask + (SL Pips*RR)</t>
  </si>
  <si>
    <r>
      <rPr>
        <b/>
        <sz val="11"/>
        <color theme="1"/>
        <rFont val="Aptos Narrow"/>
        <family val="2"/>
        <scheme val="minor"/>
      </rPr>
      <t>Risk Reward</t>
    </r>
    <r>
      <rPr>
        <sz val="11"/>
        <color theme="1"/>
        <rFont val="Aptos Narrow"/>
        <family val="2"/>
        <scheme val="minor"/>
      </rPr>
      <t>: 1:3</t>
    </r>
  </si>
  <si>
    <t>Ask</t>
  </si>
  <si>
    <t>Bid</t>
  </si>
  <si>
    <t>SL Bid - Bid</t>
  </si>
  <si>
    <t>Bid - (TP Bid - SPREAD)</t>
  </si>
  <si>
    <t>(TP Bid  + SPREAD) - Ask</t>
  </si>
  <si>
    <t xml:space="preserve">Ask - SL Bid </t>
  </si>
  <si>
    <t>RR</t>
  </si>
  <si>
    <t>SL Pips = Ask - (SL  Line)</t>
  </si>
  <si>
    <t>SL Pips = (SL Line) - Bid</t>
  </si>
  <si>
    <t>TP Price = TP Line + Spread</t>
  </si>
  <si>
    <t>SL Price = SL Line + Spread</t>
  </si>
  <si>
    <t>SL Price = SL Line</t>
  </si>
  <si>
    <t>TP Price = TP Line</t>
  </si>
  <si>
    <t>TP = Bid - (SL Pips*RR) - Spread</t>
  </si>
  <si>
    <t>Account Balance</t>
  </si>
  <si>
    <t>Standard Lot</t>
  </si>
  <si>
    <t>Risk ($)</t>
  </si>
  <si>
    <t>Risk (Pips)</t>
  </si>
  <si>
    <t>Account Currency</t>
  </si>
  <si>
    <t>Units</t>
  </si>
  <si>
    <t>Lots (EUR)</t>
  </si>
  <si>
    <t>EUR</t>
  </si>
  <si>
    <t>USD</t>
  </si>
  <si>
    <t>EURUSD</t>
  </si>
  <si>
    <t>Risk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</si>
</sst>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0" fontId="0" fillId="2" borderId="9" xfId="0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1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395941</xdr:colOff>
      <xdr:row>1</xdr:row>
      <xdr:rowOff>22411</xdr:rowOff>
    </xdr:from>
    <xdr:to>
      <xdr:col>26</xdr:col>
      <xdr:colOff>549088</xdr:colOff>
      <xdr:row>40</xdr:row>
      <xdr:rowOff>75543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5CE64F-8A87-E6C2-29AD-80650422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5794" y="201705"/>
          <a:ext cx="5397500" cy="7303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440764</xdr:colOff>
      <xdr:row>1</xdr:row>
      <xdr:rowOff>37352</xdr:rowOff>
    </xdr:from>
    <xdr:to>
      <xdr:col>19</xdr:col>
      <xdr:colOff>251054</xdr:colOff>
      <xdr:row>14</xdr:row>
      <xdr:rowOff>105309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BEF579-BEEB-ABC3-EE30-90717B85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5529" y="224117"/>
          <a:ext cx="1648055" cy="24958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BA6C-ACA7-4ECD-A752-9596F7C5BF50}">
  <dimension ref="A1:D15"/>
  <sheetViews>
    <sheetView tabSelected="1" workbookViewId="0">
      <selection activeCell="B10" sqref="B10"/>
    </sheetView>
  </sheetViews>
  <sheetFormatPr defaultColWidth="17.85546875" defaultRowHeight="15" x14ac:dyDescent="0.25"/>
  <cols>
    <col min="1" max="16384" width="17.85546875" style="78"/>
  </cols>
  <sheetData>
    <row r="1" spans="1:4" x14ac:dyDescent="0.25">
      <c r="A1" s="77" t="s">
        <v>25</v>
      </c>
      <c r="B1" s="78">
        <v>65698.149999999994</v>
      </c>
    </row>
    <row r="2" spans="1:4" x14ac:dyDescent="0.25">
      <c r="A2" s="77" t="s">
        <v>34</v>
      </c>
      <c r="B2" s="79">
        <v>1.15479</v>
      </c>
    </row>
    <row r="3" spans="1:4" x14ac:dyDescent="0.25">
      <c r="A3" s="77" t="s">
        <v>26</v>
      </c>
      <c r="B3" s="80">
        <v>100000</v>
      </c>
    </row>
    <row r="4" spans="1:4" x14ac:dyDescent="0.25">
      <c r="A4" s="77"/>
    </row>
    <row r="5" spans="1:4" x14ac:dyDescent="0.25">
      <c r="A5" s="77" t="s">
        <v>35</v>
      </c>
      <c r="B5" s="82">
        <v>1</v>
      </c>
    </row>
    <row r="6" spans="1:4" x14ac:dyDescent="0.25">
      <c r="A6" s="77" t="s">
        <v>27</v>
      </c>
      <c r="B6" s="78">
        <f>B1*(B5/100)</f>
        <v>656.98149999999998</v>
      </c>
    </row>
    <row r="7" spans="1:4" x14ac:dyDescent="0.25">
      <c r="A7" s="77" t="s">
        <v>28</v>
      </c>
      <c r="B7" s="79">
        <v>6.4999999999999997E-4</v>
      </c>
    </row>
    <row r="8" spans="1:4" x14ac:dyDescent="0.25">
      <c r="A8" s="77"/>
    </row>
    <row r="9" spans="1:4" s="77" customFormat="1" x14ac:dyDescent="0.25">
      <c r="A9" s="77" t="s">
        <v>29</v>
      </c>
      <c r="B9" s="77" t="s">
        <v>30</v>
      </c>
      <c r="C9" s="77" t="s">
        <v>31</v>
      </c>
    </row>
    <row r="10" spans="1:4" x14ac:dyDescent="0.25">
      <c r="A10" s="78" t="s">
        <v>33</v>
      </c>
      <c r="B10" s="81">
        <f>B6/B7</f>
        <v>1010740.7692307692</v>
      </c>
      <c r="C10" s="81">
        <f>B10/B3</f>
        <v>10.107407692307692</v>
      </c>
      <c r="D10" s="81"/>
    </row>
    <row r="11" spans="1:4" x14ac:dyDescent="0.25">
      <c r="A11" s="78" t="s">
        <v>32</v>
      </c>
      <c r="B11" s="81">
        <f>(B6*B2)/B7</f>
        <v>1167193.3329</v>
      </c>
      <c r="C11" s="81">
        <f>B11/B3</f>
        <v>11.671933329</v>
      </c>
    </row>
    <row r="13" spans="1:4" s="77" customFormat="1" x14ac:dyDescent="0.25"/>
    <row r="14" spans="1:4" x14ac:dyDescent="0.25">
      <c r="B14" s="81"/>
      <c r="C14" s="81"/>
    </row>
    <row r="15" spans="1:4" x14ac:dyDescent="0.25">
      <c r="B15" s="81"/>
      <c r="C15" s="81"/>
      <c r="D15" s="8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2644-7873-45F8-9098-25CB9CFAD8FA}">
  <dimension ref="A1:Y20"/>
  <sheetViews>
    <sheetView zoomScale="85" zoomScaleNormal="85" workbookViewId="0">
      <selection activeCell="G20" sqref="G20"/>
    </sheetView>
  </sheetViews>
  <sheetFormatPr defaultColWidth="8.7109375" defaultRowHeight="15" x14ac:dyDescent="0.25"/>
  <cols>
    <col min="1" max="1" width="2.85546875" style="1" customWidth="1"/>
    <col min="2" max="2" width="26.28515625" style="1" customWidth="1"/>
    <col min="3" max="5" width="2.85546875" style="1" customWidth="1"/>
    <col min="6" max="7" width="16.85546875" style="1" customWidth="1"/>
    <col min="8" max="10" width="2.85546875" style="1" customWidth="1"/>
    <col min="11" max="11" width="26.28515625" style="1" customWidth="1"/>
    <col min="12" max="15" width="8.7109375" style="1"/>
    <col min="16" max="17" width="13.140625" style="1" customWidth="1"/>
    <col min="18" max="16384" width="8.7109375" style="1"/>
  </cols>
  <sheetData>
    <row r="1" spans="1:25" customFormat="1" ht="14.4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Format="1" ht="14.45" customHeight="1" x14ac:dyDescent="0.25">
      <c r="A2" s="1"/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6"/>
      <c r="L2" s="1"/>
      <c r="M2" s="1"/>
      <c r="N2" s="27">
        <f>N3+N10</f>
        <v>1.17527</v>
      </c>
      <c r="O2" s="1"/>
      <c r="P2" s="39" t="s">
        <v>15</v>
      </c>
      <c r="Q2" s="40"/>
      <c r="R2" s="1"/>
      <c r="S2" s="1"/>
      <c r="T2" s="1"/>
      <c r="U2" s="1"/>
      <c r="V2" s="1"/>
      <c r="W2" s="1"/>
      <c r="X2" s="1"/>
      <c r="Y2" s="1"/>
    </row>
    <row r="3" spans="1:25" customFormat="1" ht="14.45" customHeight="1" thickBot="1" x14ac:dyDescent="0.3">
      <c r="A3" s="1"/>
      <c r="B3" s="47"/>
      <c r="C3" s="48"/>
      <c r="D3" s="48"/>
      <c r="E3" s="48"/>
      <c r="F3" s="48"/>
      <c r="G3" s="48"/>
      <c r="H3" s="48"/>
      <c r="I3" s="48"/>
      <c r="J3" s="48"/>
      <c r="K3" s="49"/>
      <c r="L3" s="1"/>
      <c r="M3" s="1"/>
      <c r="N3" s="30">
        <v>1.17513</v>
      </c>
      <c r="O3" s="1"/>
      <c r="P3" s="37">
        <f xml:space="preserve"> N2-Q9</f>
        <v>3.4199999999999786E-3</v>
      </c>
      <c r="Q3" s="38"/>
      <c r="R3" s="1"/>
      <c r="S3" s="1"/>
      <c r="T3" s="1"/>
      <c r="U3" s="1"/>
      <c r="V3" s="1"/>
      <c r="W3" s="1"/>
      <c r="X3" s="1"/>
      <c r="Y3" s="1"/>
    </row>
    <row r="4" spans="1:25" customFormat="1" ht="14.45" customHeight="1" x14ac:dyDescent="0.25">
      <c r="A4" s="1"/>
      <c r="B4" s="2"/>
      <c r="C4" s="4"/>
      <c r="D4" s="4"/>
      <c r="E4" s="4"/>
      <c r="F4" s="4"/>
      <c r="G4" s="4"/>
      <c r="H4" s="4"/>
      <c r="I4" s="4"/>
      <c r="J4" s="4"/>
      <c r="K4" s="16" t="s">
        <v>3</v>
      </c>
      <c r="L4" s="1"/>
      <c r="M4" s="1"/>
      <c r="N4" s="23"/>
      <c r="O4" s="1"/>
      <c r="P4" s="1"/>
      <c r="Q4" s="23"/>
      <c r="R4" s="1"/>
      <c r="S4" s="1"/>
      <c r="T4" s="1"/>
      <c r="U4" s="1"/>
      <c r="V4" s="1"/>
      <c r="W4" s="1"/>
      <c r="X4" s="1"/>
      <c r="Y4" s="1"/>
    </row>
    <row r="5" spans="1:25" customFormat="1" ht="14.45" customHeight="1" thickBot="1" x14ac:dyDescent="0.3">
      <c r="B5" s="5"/>
      <c r="C5" s="1"/>
      <c r="D5" s="1"/>
      <c r="E5" s="1"/>
      <c r="F5" s="1"/>
      <c r="G5" s="1"/>
      <c r="H5" s="1"/>
      <c r="I5" s="1"/>
      <c r="J5" s="1"/>
      <c r="K5" s="13" t="s">
        <v>9</v>
      </c>
      <c r="L5" s="1"/>
      <c r="M5" s="1"/>
      <c r="N5" s="23"/>
      <c r="O5" s="1"/>
      <c r="P5" s="1"/>
      <c r="Q5" s="23"/>
      <c r="R5" s="1"/>
      <c r="S5" s="1"/>
      <c r="T5" s="1"/>
      <c r="U5" s="1"/>
      <c r="V5" s="1"/>
      <c r="W5" s="1"/>
      <c r="X5" s="1"/>
      <c r="Y5" s="1"/>
    </row>
    <row r="6" spans="1:25" customFormat="1" ht="14.45" customHeight="1" x14ac:dyDescent="0.25">
      <c r="A6" s="1"/>
      <c r="B6" s="5"/>
      <c r="C6" s="1"/>
      <c r="D6" s="1"/>
      <c r="E6" s="1"/>
      <c r="F6" s="52" t="s">
        <v>20</v>
      </c>
      <c r="G6" s="53"/>
      <c r="H6" s="54" t="s">
        <v>6</v>
      </c>
      <c r="I6" s="55"/>
      <c r="J6" s="58"/>
      <c r="K6" s="8"/>
      <c r="L6" s="1"/>
      <c r="M6" s="1"/>
      <c r="N6" s="23"/>
      <c r="O6" s="1"/>
      <c r="P6" s="1"/>
      <c r="Q6" s="23"/>
      <c r="R6" s="1"/>
      <c r="S6" s="1"/>
      <c r="T6" s="1"/>
      <c r="U6" s="1"/>
      <c r="V6" s="1"/>
      <c r="W6" s="1"/>
      <c r="X6" s="1"/>
      <c r="Y6" s="1"/>
    </row>
    <row r="7" spans="1:25" customFormat="1" ht="14.45" customHeight="1" x14ac:dyDescent="0.25">
      <c r="A7" s="1"/>
      <c r="B7" s="5"/>
      <c r="C7" s="1"/>
      <c r="D7" s="1"/>
      <c r="E7" s="1"/>
      <c r="F7" s="19"/>
      <c r="G7" s="20"/>
      <c r="H7" s="59"/>
      <c r="I7" s="60"/>
      <c r="J7" s="61"/>
      <c r="K7" s="8"/>
      <c r="L7" s="1"/>
      <c r="M7" s="1"/>
      <c r="N7" s="23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customFormat="1" ht="14.45" customHeight="1" x14ac:dyDescent="0.25">
      <c r="A8" s="1"/>
      <c r="B8" s="5"/>
      <c r="C8" s="1"/>
      <c r="D8" s="1"/>
      <c r="E8" s="1"/>
      <c r="F8" s="19"/>
      <c r="G8" s="20"/>
      <c r="H8" s="59"/>
      <c r="I8" s="60"/>
      <c r="J8" s="61"/>
      <c r="K8" s="8"/>
      <c r="L8" s="1"/>
      <c r="M8" s="1"/>
      <c r="N8" s="23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customFormat="1" ht="14.45" customHeight="1" x14ac:dyDescent="0.25">
      <c r="A9" s="1"/>
      <c r="B9" s="5"/>
      <c r="C9" s="1"/>
      <c r="D9" s="1"/>
      <c r="E9" s="1"/>
      <c r="F9" s="67" t="s">
        <v>8</v>
      </c>
      <c r="G9" s="68"/>
      <c r="H9" s="59"/>
      <c r="I9" s="60"/>
      <c r="J9" s="61"/>
      <c r="K9" s="8"/>
      <c r="L9" s="1"/>
      <c r="M9" s="1"/>
      <c r="N9" s="23" t="s">
        <v>2</v>
      </c>
      <c r="O9" s="1"/>
      <c r="P9" s="29" t="s">
        <v>11</v>
      </c>
      <c r="Q9" s="31">
        <f>Q10+N10</f>
        <v>1.1718500000000001</v>
      </c>
      <c r="R9" s="1"/>
      <c r="S9" s="1"/>
      <c r="T9" s="1"/>
      <c r="U9" s="1"/>
      <c r="V9" s="1"/>
      <c r="W9" s="1"/>
      <c r="X9" s="1"/>
      <c r="Y9" s="1"/>
    </row>
    <row r="10" spans="1:25" customFormat="1" ht="14.45" customHeight="1" x14ac:dyDescent="0.25">
      <c r="A10" s="1"/>
      <c r="B10" s="5"/>
      <c r="C10" s="1"/>
      <c r="D10" s="1"/>
      <c r="E10" s="1"/>
      <c r="F10" s="67"/>
      <c r="G10" s="68"/>
      <c r="H10" s="59"/>
      <c r="I10" s="60"/>
      <c r="J10" s="61"/>
      <c r="K10" s="8"/>
      <c r="L10" s="1"/>
      <c r="M10" s="1"/>
      <c r="N10" s="23">
        <v>1.3999999999999999E-4</v>
      </c>
      <c r="O10" s="1"/>
      <c r="P10" s="1"/>
      <c r="Q10" s="30">
        <v>1.17171</v>
      </c>
      <c r="R10" s="1"/>
      <c r="S10" s="1"/>
      <c r="T10" s="1"/>
      <c r="U10" s="1"/>
      <c r="V10" s="1"/>
      <c r="W10" s="1"/>
      <c r="X10" s="1"/>
      <c r="Y10" s="1"/>
    </row>
    <row r="11" spans="1:25" customFormat="1" ht="14.45" customHeight="1" x14ac:dyDescent="0.25">
      <c r="A11" s="1"/>
      <c r="B11" s="5"/>
      <c r="C11" s="1"/>
      <c r="D11" s="1"/>
      <c r="E11" s="1"/>
      <c r="F11" s="67"/>
      <c r="G11" s="68"/>
      <c r="H11" s="59"/>
      <c r="I11" s="60"/>
      <c r="J11" s="61"/>
      <c r="K11" s="8"/>
      <c r="L11" s="1"/>
      <c r="M11" s="1"/>
      <c r="N11" s="23"/>
      <c r="O11" s="1"/>
      <c r="P11" s="1"/>
      <c r="Q11" s="23"/>
      <c r="R11" s="1"/>
      <c r="S11" s="1"/>
      <c r="T11" s="1"/>
      <c r="U11" s="1"/>
      <c r="V11" s="1"/>
      <c r="W11" s="1"/>
      <c r="X11" s="1"/>
      <c r="Y11" s="1"/>
    </row>
    <row r="12" spans="1:25" customFormat="1" ht="14.45" customHeight="1" thickBot="1" x14ac:dyDescent="0.3">
      <c r="A12" s="1"/>
      <c r="B12" s="5"/>
      <c r="C12" s="9"/>
      <c r="D12" s="9"/>
      <c r="E12" s="9"/>
      <c r="F12" s="69"/>
      <c r="G12" s="70"/>
      <c r="H12" s="56"/>
      <c r="I12" s="57"/>
      <c r="J12" s="62"/>
      <c r="K12" s="13" t="s">
        <v>4</v>
      </c>
      <c r="L12" s="1"/>
      <c r="M12" s="1"/>
      <c r="N12" s="30">
        <f>N13+N10</f>
        <v>1.1708499999999999</v>
      </c>
      <c r="O12" s="1"/>
      <c r="P12" s="41" t="s">
        <v>16</v>
      </c>
      <c r="Q12" s="42"/>
      <c r="R12" s="1"/>
      <c r="S12" s="1"/>
      <c r="T12" s="1"/>
      <c r="U12" s="1"/>
      <c r="V12" s="1"/>
      <c r="W12" s="1"/>
      <c r="X12" s="1"/>
      <c r="Y12" s="1"/>
    </row>
    <row r="13" spans="1:25" customFormat="1" ht="14.45" customHeight="1" thickBot="1" x14ac:dyDescent="0.3">
      <c r="A13" s="1"/>
      <c r="B13" s="11"/>
      <c r="C13" s="1"/>
      <c r="D13" s="14"/>
      <c r="E13" s="14"/>
      <c r="F13" s="50" t="s">
        <v>2</v>
      </c>
      <c r="G13" s="51"/>
      <c r="H13" s="1"/>
      <c r="I13" s="1"/>
      <c r="J13" s="1"/>
      <c r="K13" s="8"/>
      <c r="L13" s="1"/>
      <c r="M13" s="1"/>
      <c r="N13" s="35">
        <v>1.1707099999999999</v>
      </c>
      <c r="O13" s="1"/>
      <c r="P13" s="37">
        <f>Q9-N13</f>
        <v>1.1400000000001409E-3</v>
      </c>
      <c r="Q13" s="38"/>
      <c r="R13" s="1"/>
      <c r="S13" s="1"/>
      <c r="T13" s="1"/>
      <c r="U13" s="1"/>
      <c r="V13" s="1"/>
      <c r="W13" s="1"/>
      <c r="X13" s="1"/>
      <c r="Y13" s="1"/>
    </row>
    <row r="14" spans="1:25" customFormat="1" ht="14.45" customHeight="1" x14ac:dyDescent="0.25">
      <c r="A14" s="1"/>
      <c r="B14" s="36" t="s">
        <v>3</v>
      </c>
      <c r="C14" s="54" t="s">
        <v>7</v>
      </c>
      <c r="D14" s="55"/>
      <c r="E14" s="55"/>
      <c r="F14" s="63" t="s">
        <v>21</v>
      </c>
      <c r="G14" s="64"/>
      <c r="H14" s="1"/>
      <c r="I14" s="1"/>
      <c r="J14" s="1"/>
      <c r="K14" s="8"/>
      <c r="L14" s="1"/>
      <c r="M14" s="1"/>
      <c r="N14" s="23"/>
      <c r="O14" s="1"/>
      <c r="P14" s="1"/>
      <c r="Q14" s="23"/>
      <c r="R14" s="1"/>
      <c r="S14" s="1"/>
      <c r="T14" s="1"/>
      <c r="U14" s="1"/>
      <c r="V14" s="1"/>
      <c r="W14" s="1"/>
      <c r="X14" s="1"/>
      <c r="Y14" s="1"/>
    </row>
    <row r="15" spans="1:25" customFormat="1" ht="14.45" customHeight="1" thickBot="1" x14ac:dyDescent="0.3">
      <c r="A15" s="1"/>
      <c r="B15" s="18" t="s">
        <v>18</v>
      </c>
      <c r="C15" s="56"/>
      <c r="D15" s="57"/>
      <c r="E15" s="57"/>
      <c r="F15" s="65"/>
      <c r="G15" s="66"/>
      <c r="H15" s="1"/>
      <c r="I15" s="1"/>
      <c r="J15" s="1"/>
      <c r="K15" s="8"/>
      <c r="L15" s="1"/>
      <c r="M15" s="1"/>
      <c r="N15" s="1"/>
      <c r="O15" s="1"/>
      <c r="P15" s="28" t="s">
        <v>17</v>
      </c>
      <c r="Q15" s="28">
        <f>P13*3</f>
        <v>3.4200000000004227E-3</v>
      </c>
      <c r="R15" s="1"/>
      <c r="S15" s="1"/>
      <c r="T15" s="1"/>
      <c r="U15" s="1"/>
      <c r="V15" s="1"/>
      <c r="W15" s="1"/>
      <c r="X15" s="1"/>
      <c r="Y15" s="1"/>
    </row>
    <row r="16" spans="1:25" customFormat="1" ht="14.45" customHeight="1" x14ac:dyDescent="0.25">
      <c r="A16" s="1"/>
      <c r="B16" s="5"/>
      <c r="C16" s="1"/>
      <c r="D16" s="1"/>
      <c r="E16" s="1"/>
      <c r="F16" s="43"/>
      <c r="G16" s="43"/>
      <c r="H16" s="1"/>
      <c r="I16" s="1"/>
      <c r="J16" s="1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customFormat="1" ht="14.45" customHeight="1" thickBot="1" x14ac:dyDescent="0.3">
      <c r="A17" s="1"/>
      <c r="B17" s="3"/>
      <c r="C17" s="6"/>
      <c r="D17" s="6"/>
      <c r="E17" s="6"/>
      <c r="F17" s="6"/>
      <c r="G17" s="6"/>
      <c r="H17" s="6"/>
      <c r="I17" s="6"/>
      <c r="J17" s="6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20" spans="1:25" x14ac:dyDescent="0.25">
      <c r="A20"/>
    </row>
  </sheetData>
  <mergeCells count="12">
    <mergeCell ref="P13:Q13"/>
    <mergeCell ref="P2:Q2"/>
    <mergeCell ref="P3:Q3"/>
    <mergeCell ref="P12:Q12"/>
    <mergeCell ref="F16:G16"/>
    <mergeCell ref="B2:K3"/>
    <mergeCell ref="F13:G13"/>
    <mergeCell ref="F6:G6"/>
    <mergeCell ref="C14:E15"/>
    <mergeCell ref="H6:J12"/>
    <mergeCell ref="F14:G15"/>
    <mergeCell ref="F9:G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5DC1-FA05-4B06-B6B8-905CB58A2861}">
  <dimension ref="A1:X21"/>
  <sheetViews>
    <sheetView zoomScale="85" zoomScaleNormal="85" workbookViewId="0">
      <selection activeCell="B16" sqref="B16"/>
    </sheetView>
  </sheetViews>
  <sheetFormatPr defaultColWidth="8.7109375" defaultRowHeight="15" x14ac:dyDescent="0.25"/>
  <cols>
    <col min="1" max="1" width="2.85546875" style="1" customWidth="1"/>
    <col min="2" max="2" width="27.140625" style="1" bestFit="1" customWidth="1"/>
    <col min="3" max="5" width="2.85546875" style="1" customWidth="1"/>
    <col min="6" max="7" width="18.7109375" style="1" customWidth="1"/>
    <col min="8" max="10" width="2.85546875" style="1" customWidth="1"/>
    <col min="11" max="11" width="26.28515625" style="1" customWidth="1"/>
    <col min="12" max="15" width="8.7109375" style="1"/>
    <col min="16" max="16" width="19.7109375" style="1" bestFit="1" customWidth="1"/>
    <col min="17" max="16384" width="8.7109375" style="1"/>
  </cols>
  <sheetData>
    <row r="1" spans="1:24" customFormat="1" ht="14.4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Format="1" ht="14.45" customHeight="1" x14ac:dyDescent="0.25">
      <c r="A2" s="1"/>
      <c r="B2" s="44" t="s">
        <v>1</v>
      </c>
      <c r="C2" s="45"/>
      <c r="D2" s="45"/>
      <c r="E2" s="45"/>
      <c r="F2" s="45"/>
      <c r="G2" s="45"/>
      <c r="H2" s="45"/>
      <c r="I2" s="45"/>
      <c r="J2" s="45"/>
      <c r="K2" s="46"/>
      <c r="L2" s="1"/>
      <c r="M2" s="1"/>
      <c r="N2" s="1"/>
      <c r="O2" s="28" t="s">
        <v>17</v>
      </c>
      <c r="P2" s="28">
        <f>O5*3</f>
        <v>4.349999999999854E-3</v>
      </c>
      <c r="Q2" s="1"/>
      <c r="R2" s="1"/>
      <c r="S2" s="1"/>
      <c r="T2" s="1"/>
      <c r="U2" s="1"/>
      <c r="V2" s="1"/>
      <c r="W2" s="1"/>
      <c r="X2" s="1"/>
    </row>
    <row r="3" spans="1:24" customFormat="1" ht="14.45" customHeight="1" thickBot="1" x14ac:dyDescent="0.3">
      <c r="A3" s="1"/>
      <c r="B3" s="47"/>
      <c r="C3" s="48"/>
      <c r="D3" s="48"/>
      <c r="E3" s="48"/>
      <c r="F3" s="48"/>
      <c r="G3" s="48"/>
      <c r="H3" s="48"/>
      <c r="I3" s="48"/>
      <c r="J3" s="48"/>
      <c r="K3" s="4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customFormat="1" ht="14.45" customHeight="1" x14ac:dyDescent="0.25">
      <c r="A4" s="1"/>
      <c r="B4" s="2"/>
      <c r="C4" s="15"/>
      <c r="D4" s="15"/>
      <c r="E4" s="15"/>
      <c r="F4" s="15"/>
      <c r="G4" s="15"/>
      <c r="H4" s="15"/>
      <c r="I4" s="15"/>
      <c r="J4" s="15"/>
      <c r="K4" s="16" t="s">
        <v>3</v>
      </c>
      <c r="L4" s="1"/>
      <c r="M4" s="33">
        <f>M5+M8</f>
        <v>1.17357</v>
      </c>
      <c r="N4" s="1"/>
      <c r="O4" s="41" t="s">
        <v>13</v>
      </c>
      <c r="P4" s="42"/>
      <c r="Q4" s="1"/>
      <c r="R4" s="1"/>
      <c r="S4" s="1"/>
      <c r="T4" s="1"/>
      <c r="U4" s="1"/>
      <c r="V4" s="1"/>
      <c r="W4" s="1"/>
      <c r="X4" s="1"/>
    </row>
    <row r="5" spans="1:24" customFormat="1" ht="14.45" customHeight="1" thickBot="1" x14ac:dyDescent="0.3">
      <c r="A5" s="1"/>
      <c r="B5" s="5"/>
      <c r="C5" s="1"/>
      <c r="D5" s="1"/>
      <c r="E5" s="1"/>
      <c r="F5" s="1"/>
      <c r="G5" s="1"/>
      <c r="H5" s="1"/>
      <c r="I5" s="1"/>
      <c r="J5" s="1"/>
      <c r="K5" s="13" t="s">
        <v>19</v>
      </c>
      <c r="L5" s="1"/>
      <c r="M5" s="25">
        <v>1.17343</v>
      </c>
      <c r="N5" s="1"/>
      <c r="O5" s="37">
        <f xml:space="preserve"> M5-P8</f>
        <v>1.4499999999999513E-3</v>
      </c>
      <c r="P5" s="38"/>
      <c r="Q5" s="1"/>
      <c r="R5" s="1"/>
      <c r="S5" s="1"/>
      <c r="T5" s="1"/>
      <c r="U5" s="1"/>
      <c r="V5" s="1"/>
      <c r="W5" s="1"/>
      <c r="X5" s="1"/>
    </row>
    <row r="6" spans="1:24" customFormat="1" ht="14.45" customHeight="1" x14ac:dyDescent="0.25">
      <c r="B6" s="5"/>
      <c r="C6" s="1"/>
      <c r="D6" s="1"/>
      <c r="E6" s="1"/>
      <c r="F6" s="63" t="s">
        <v>22</v>
      </c>
      <c r="G6" s="64"/>
      <c r="H6" s="55" t="s">
        <v>7</v>
      </c>
      <c r="I6" s="55"/>
      <c r="J6" s="58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customFormat="1" ht="14.45" customHeight="1" thickBot="1" x14ac:dyDescent="0.3">
      <c r="A7" s="1"/>
      <c r="B7" s="5"/>
      <c r="C7" s="1"/>
      <c r="D7" s="1"/>
      <c r="E7" s="1"/>
      <c r="F7" s="65"/>
      <c r="G7" s="66"/>
      <c r="H7" s="57"/>
      <c r="I7" s="57"/>
      <c r="J7" s="62"/>
      <c r="K7" s="8"/>
      <c r="L7" s="1"/>
      <c r="M7" s="23" t="s">
        <v>2</v>
      </c>
      <c r="N7" s="1"/>
      <c r="O7" s="23"/>
      <c r="P7" s="32">
        <f>P8+M8</f>
        <v>1.1721200000000001</v>
      </c>
      <c r="Q7" s="1"/>
      <c r="R7" s="1"/>
      <c r="S7" s="1"/>
      <c r="T7" s="1"/>
      <c r="U7" s="1"/>
      <c r="V7" s="1"/>
      <c r="W7" s="1"/>
      <c r="X7" s="1"/>
    </row>
    <row r="8" spans="1:24" customFormat="1" ht="14.45" customHeight="1" thickBot="1" x14ac:dyDescent="0.3">
      <c r="A8" s="1"/>
      <c r="B8" s="11"/>
      <c r="C8" s="9"/>
      <c r="D8" s="9"/>
      <c r="E8" s="9"/>
      <c r="F8" s="73" t="s">
        <v>2</v>
      </c>
      <c r="G8" s="74"/>
      <c r="H8" s="21"/>
      <c r="I8" s="22"/>
      <c r="J8" s="22"/>
      <c r="K8" s="13" t="s">
        <v>5</v>
      </c>
      <c r="L8" s="1"/>
      <c r="M8" s="23">
        <v>1.3999999999999999E-4</v>
      </c>
      <c r="N8" s="1"/>
      <c r="O8" s="29" t="s">
        <v>12</v>
      </c>
      <c r="P8" s="34">
        <v>1.17198</v>
      </c>
      <c r="Q8" s="1"/>
      <c r="R8" s="1"/>
      <c r="S8" s="1"/>
      <c r="T8" s="1"/>
      <c r="U8" s="1"/>
      <c r="V8" s="1"/>
      <c r="W8" s="1"/>
      <c r="X8" s="1"/>
    </row>
    <row r="9" spans="1:24" customFormat="1" ht="14.45" customHeight="1" x14ac:dyDescent="0.25">
      <c r="A9" s="1"/>
      <c r="B9" s="12"/>
      <c r="C9" s="54" t="s">
        <v>6</v>
      </c>
      <c r="D9" s="55"/>
      <c r="E9" s="55"/>
      <c r="F9" s="67" t="s">
        <v>10</v>
      </c>
      <c r="G9" s="68"/>
      <c r="H9" s="14"/>
      <c r="I9" s="14"/>
      <c r="J9" s="14"/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customFormat="1" ht="14.45" customHeight="1" x14ac:dyDescent="0.25">
      <c r="A10" s="1"/>
      <c r="B10" s="5"/>
      <c r="C10" s="59"/>
      <c r="D10" s="60"/>
      <c r="E10" s="60"/>
      <c r="F10" s="67"/>
      <c r="G10" s="68"/>
      <c r="H10" s="14"/>
      <c r="I10" s="14"/>
      <c r="J10" s="14"/>
      <c r="K10" s="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customFormat="1" ht="14.45" customHeight="1" x14ac:dyDescent="0.25">
      <c r="A11" s="1"/>
      <c r="B11" s="5"/>
      <c r="C11" s="59"/>
      <c r="D11" s="60"/>
      <c r="E11" s="60"/>
      <c r="F11" s="67"/>
      <c r="G11" s="68"/>
      <c r="H11" s="14"/>
      <c r="I11" s="14"/>
      <c r="J11" s="14"/>
      <c r="K11" s="8"/>
      <c r="L11" s="1"/>
      <c r="M11" s="1"/>
      <c r="N11" s="1"/>
      <c r="O11" s="1"/>
      <c r="P11" s="23"/>
      <c r="Q11" s="1"/>
      <c r="R11" s="1"/>
      <c r="S11" s="1"/>
      <c r="T11" s="1"/>
      <c r="U11" s="1"/>
      <c r="V11" s="1"/>
      <c r="W11" s="1"/>
      <c r="X11" s="1"/>
    </row>
    <row r="12" spans="1:24" customFormat="1" ht="14.45" customHeight="1" x14ac:dyDescent="0.25">
      <c r="A12" s="1"/>
      <c r="B12" s="5"/>
      <c r="C12" s="59"/>
      <c r="D12" s="60"/>
      <c r="E12" s="60"/>
      <c r="F12" s="67"/>
      <c r="G12" s="68"/>
      <c r="H12" s="14"/>
      <c r="I12" s="10"/>
      <c r="J12" s="10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customFormat="1" ht="14.45" customHeight="1" x14ac:dyDescent="0.25">
      <c r="A13" s="1"/>
      <c r="B13" s="5"/>
      <c r="C13" s="59"/>
      <c r="D13" s="60"/>
      <c r="E13" s="60"/>
      <c r="F13" s="67"/>
      <c r="G13" s="68"/>
      <c r="H13" s="1"/>
      <c r="I13" s="1"/>
      <c r="J13" s="1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customFormat="1" ht="14.45" customHeight="1" x14ac:dyDescent="0.25">
      <c r="A14" s="1"/>
      <c r="B14" s="17" t="s">
        <v>3</v>
      </c>
      <c r="C14" s="59"/>
      <c r="D14" s="60"/>
      <c r="E14" s="60"/>
      <c r="F14" s="67"/>
      <c r="G14" s="68"/>
      <c r="H14" s="1"/>
      <c r="I14" s="1"/>
      <c r="J14" s="1"/>
      <c r="K14" s="8"/>
      <c r="L14" s="1"/>
      <c r="M14" s="1"/>
      <c r="N14" s="1"/>
      <c r="O14" s="1"/>
      <c r="P14" s="23"/>
      <c r="Q14" s="1"/>
      <c r="R14" s="1"/>
      <c r="S14" s="1"/>
      <c r="T14" s="1"/>
      <c r="U14" s="1"/>
      <c r="V14" s="1"/>
      <c r="W14" s="1"/>
      <c r="X14" s="1"/>
    </row>
    <row r="15" spans="1:24" customFormat="1" ht="14.45" customHeight="1" thickBot="1" x14ac:dyDescent="0.3">
      <c r="A15" s="1"/>
      <c r="B15" s="18" t="s">
        <v>24</v>
      </c>
      <c r="C15" s="56"/>
      <c r="D15" s="57"/>
      <c r="E15" s="57"/>
      <c r="F15" s="75" t="s">
        <v>23</v>
      </c>
      <c r="G15" s="76"/>
      <c r="H15" s="1"/>
      <c r="I15" s="1"/>
      <c r="J15" s="1"/>
      <c r="K15" s="8"/>
      <c r="L15" s="1"/>
      <c r="M15" s="33">
        <v>1.1678200000000001</v>
      </c>
      <c r="N15" s="1"/>
      <c r="O15" s="71" t="s">
        <v>14</v>
      </c>
      <c r="P15" s="72"/>
      <c r="Q15" s="1"/>
      <c r="R15" s="1"/>
      <c r="S15" s="1"/>
      <c r="T15" s="1"/>
      <c r="U15" s="1"/>
      <c r="V15" s="1"/>
      <c r="W15" s="1"/>
      <c r="X15" s="1"/>
    </row>
    <row r="16" spans="1:24" customFormat="1" ht="14.45" customHeight="1" thickBot="1" x14ac:dyDescent="0.3">
      <c r="A16" s="1"/>
      <c r="B16" s="3"/>
      <c r="C16" s="6"/>
      <c r="D16" s="6"/>
      <c r="E16" s="6"/>
      <c r="F16" s="6"/>
      <c r="G16" s="6"/>
      <c r="H16" s="6"/>
      <c r="I16" s="6"/>
      <c r="J16" s="6"/>
      <c r="K16" s="7"/>
      <c r="L16" s="1"/>
      <c r="M16" s="24">
        <f>M15-M8</f>
        <v>1.1676800000000001</v>
      </c>
      <c r="N16" s="1"/>
      <c r="O16" s="37">
        <f>P8-M16</f>
        <v>4.2999999999999705E-3</v>
      </c>
      <c r="P16" s="38"/>
      <c r="Q16" s="1"/>
      <c r="R16" s="1"/>
      <c r="S16" s="1"/>
      <c r="T16" s="1"/>
      <c r="U16" s="1"/>
      <c r="V16" s="1"/>
      <c r="W16" s="1"/>
      <c r="X16" s="1"/>
    </row>
    <row r="17" spans="1:20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T18"/>
    </row>
    <row r="19" spans="1:20" x14ac:dyDescent="0.25">
      <c r="A19"/>
    </row>
    <row r="20" spans="1:20" x14ac:dyDescent="0.25">
      <c r="N20" s="24"/>
      <c r="O20" s="24"/>
    </row>
    <row r="21" spans="1:20" x14ac:dyDescent="0.25">
      <c r="N21" s="26"/>
      <c r="O21" s="26"/>
    </row>
  </sheetData>
  <mergeCells count="11">
    <mergeCell ref="O15:P15"/>
    <mergeCell ref="O16:P16"/>
    <mergeCell ref="O4:P4"/>
    <mergeCell ref="O5:P5"/>
    <mergeCell ref="B2:K3"/>
    <mergeCell ref="H6:J7"/>
    <mergeCell ref="F6:G7"/>
    <mergeCell ref="F8:G8"/>
    <mergeCell ref="C9:E15"/>
    <mergeCell ref="F15:G15"/>
    <mergeCell ref="F9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 Sizing</vt:lpstr>
      <vt:lpstr>BUY</vt:lpstr>
      <vt:lpstr>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Castillo</dc:creator>
  <cp:lastModifiedBy>Alexander Castillo</cp:lastModifiedBy>
  <dcterms:created xsi:type="dcterms:W3CDTF">2025-08-21T21:26:18Z</dcterms:created>
  <dcterms:modified xsi:type="dcterms:W3CDTF">2026-08-10T14:04:37Z</dcterms:modified>
</cp:coreProperties>
</file>